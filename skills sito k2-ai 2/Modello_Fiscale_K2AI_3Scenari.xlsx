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ronto" sheetId="1" state="visible" r:id="rId3"/>
    <sheet name="Parametri" sheetId="2" state="visible" r:id="rId4"/>
    <sheet name="Scenario_A" sheetId="3" state="visible" r:id="rId5"/>
    <sheet name="Scenario_B" sheetId="4" state="visible" r:id="rId6"/>
    <sheet name="Scenario_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<sst xmlns="http://schemas.openxmlformats.org/spreadsheetml/2006/main" count="202" uniqueCount="170">
  <si>
    <t xml:space="preserve">CONFRONTO SCENARI — Modello Fiscale K2-AI SRL su €150.000 Utile Lordo</t>
  </si>
  <si>
    <t xml:space="preserve">Ipotesi di base: SRL con utile lordo €150.000, due soci-amministratori (Luca Rossi 50% + Jessica Romanelli 50%) tramite Società Semplice. Reddito da dividendi = partecipazione qualificata (&gt;25% capitale SRL non quotata). VERIFICARE TUTTE LE ALIQUOTE CON IL COMMERCIALISTA.</t>
  </si>
  <si>
    <t xml:space="preserve">VOCE</t>
  </si>
  <si>
    <t xml:space="preserve">SCENARIO A
Tutto Compensi</t>
  </si>
  <si>
    <t xml:space="preserve">SCENARIO B
Tutto Dividendi</t>
  </si>
  <si>
    <t xml:space="preserve">SCENARIO C
Mix Ottimale</t>
  </si>
  <si>
    <t xml:space="preserve">Note</t>
  </si>
  <si>
    <t xml:space="preserve">─── INPUT ───</t>
  </si>
  <si>
    <t xml:space="preserve">Utile lordo SRL (€)</t>
  </si>
  <si>
    <t xml:space="preserve">Stesso per tutti e 3</t>
  </si>
  <si>
    <t xml:space="preserve">─── LIVELLO SRL ───</t>
  </si>
  <si>
    <t xml:space="preserve">IRES pagata da SRL (€)</t>
  </si>
  <si>
    <t xml:space="preserve">Totale compensi lordi erogati (€)</t>
  </si>
  <si>
    <t xml:space="preserve">Costo INPS datori SRL (€)</t>
  </si>
  <si>
    <t xml:space="preserve">Utile netto SRL post-IRES (€)</t>
  </si>
  <si>
    <t xml:space="preserve">Utile ritenuto in SRL (€)</t>
  </si>
  <si>
    <t xml:space="preserve">Scen. A: zero perché utile = 0; Scen. B: tutto distribuito</t>
  </si>
  <si>
    <t xml:space="preserve">─── LIVELLO LUCA ───</t>
  </si>
  <si>
    <t xml:space="preserve">Cash netto in tasca — Luca (€)</t>
  </si>
  <si>
    <t xml:space="preserve">INPS lavoratore Luca (€)</t>
  </si>
  <si>
    <t xml:space="preserve">IRPEF Luca (€)</t>
  </si>
  <si>
    <t xml:space="preserve">─── LIVELLO JESSICA ───</t>
  </si>
  <si>
    <t xml:space="preserve">Cash netto in tasca — Jessica (€)</t>
  </si>
  <si>
    <t xml:space="preserve">INPS lavoratore Jessica (€)</t>
  </si>
  <si>
    <t xml:space="preserve">IRPEF Jessica (€)</t>
  </si>
  <si>
    <t xml:space="preserve">─── RIEPILOGO TOTALE ───</t>
  </si>
  <si>
    <t xml:space="preserve">TOTALE CASH IN TASCA (Luca + Jessica)</t>
  </si>
  <si>
    <t xml:space="preserve">TOTALE IMPOSTE + ONERI FISCALI/PREV.</t>
  </si>
  <si>
    <t xml:space="preserve">Utile ritenuto SRL (valore economico, non cash)</t>
  </si>
  <si>
    <t xml:space="preserve">Valore economico totale (cash + ritenuto)</t>
  </si>
  <si>
    <t xml:space="preserve">EFFICIENZA NETTA (netto cash / utile lordo)</t>
  </si>
  <si>
    <t xml:space="preserve">EFFICIENZA ECONOMICA TOTALE</t>
  </si>
  <si>
    <t xml:space="preserve">(incl. ritenuto in SRL)</t>
  </si>
  <si>
    <t xml:space="preserve">VERDETTO PROVVISORIO: Scenario B (Tutto Dividendi) massimizza il CASH NETTO (67% efficienza). Scenario C è preferibile quando la SRL deve autofinanziare la crescita. Scenario A è il meno efficiente per la coppia INPS+IRPEF.</t>
  </si>
  <si>
    <t xml:space="preserve">MODELLO FISCALE K2-AI SRL — Parametri e Ipotesi di Base</t>
  </si>
  <si>
    <t xml:space="preserve">⚠  ATTENZIONE — SOLO PER DISCUSSIONE CON IL COMMERCIALISTA. Testo BLU su sfondo azzurro = input modificabile dal commercialista. Testo NERO = formula automatica. Non sostituisce consulenza professionale.</t>
  </si>
  <si>
    <t xml:space="preserve">Parametro</t>
  </si>
  <si>
    <t xml:space="preserve">Valore</t>
  </si>
  <si>
    <t xml:space="preserve">Utile lordo SRL — ante compensi e ante IRES  (€)</t>
  </si>
  <si>
    <t xml:space="preserve">Profitto pre-tutto. Modificare qui per testare scenari diversi.</t>
  </si>
  <si>
    <t xml:space="preserve">Aliquota IRES</t>
  </si>
  <si>
    <t xml:space="preserve">Art. 77 TUIR — aliquota ordinaria 24%</t>
  </si>
  <si>
    <t xml:space="preserve">Aliquota INPS gestione separata (totale)</t>
  </si>
  <si>
    <t xml:space="preserve">Aliquota indicativa 2024 per iscritti senza altra cov. obbl. — VERIFICARE con c/sta</t>
  </si>
  <si>
    <t xml:space="preserve">  di cui quota DATORE LAVORO (2/3)</t>
  </si>
  <si>
    <t xml:space="preserve">Costo aggiuntivo SRL; si applica in cima al compenso lordo</t>
  </si>
  <si>
    <t xml:space="preserve">  di cui quota LAVORATORE (1/3)</t>
  </si>
  <si>
    <t xml:space="preserve">Trattenuta sull'amministratore, deducibile dal reddito IRPEF</t>
  </si>
  <si>
    <t xml:space="preserve">IRPEF 2024 — Scaglione 1: limite superiore (€)</t>
  </si>
  <si>
    <t xml:space="preserve">23% su reddito 0 – 28.000 €</t>
  </si>
  <si>
    <t xml:space="preserve">IRPEF 2024 — Scaglione 1: aliquota</t>
  </si>
  <si>
    <t xml:space="preserve">IRPEF 2024 — Scaglione 2: limite superiore (€)</t>
  </si>
  <si>
    <t xml:space="preserve">35% su reddito 28.001 – 50.000 €</t>
  </si>
  <si>
    <t xml:space="preserve">IRPEF 2024 — Scaglione 2: aliquota</t>
  </si>
  <si>
    <t xml:space="preserve">IRPEF 2024 — Scaglione 3: aliquota (oltre €50.000)</t>
  </si>
  <si>
    <t xml:space="preserve">43% oltre €50.000</t>
  </si>
  <si>
    <t xml:space="preserve">Quota inclusione dividendi qualificati in IRPEF</t>
  </si>
  <si>
    <t xml:space="preserve">Art. 47 c.1 TUIR — partecip. qualificata (&gt;20% voti / &gt;25% cap.). Solo 49,72% del dividendo entra in base IRPEF. NON si applica la ritenuta secca 26%.</t>
  </si>
  <si>
    <t xml:space="preserve">Compenso Luca — Scenario C (€)</t>
  </si>
  <si>
    <t xml:space="preserve">Calibrato al 1° scaglione IRPEF. Modificare per analisi di sensitività.</t>
  </si>
  <si>
    <t xml:space="preserve">Compenso Jessica — Scenario C (€)</t>
  </si>
  <si>
    <t xml:space="preserve">Uguale a Luca per ipotesi di parità SS 50/50</t>
  </si>
  <si>
    <t xml:space="preserve">% utile post-IRES distribuito come dividendo — Scenario C</t>
  </si>
  <si>
    <t xml:space="preserve">20% ritenuto in SRL per autofinanziamento crescita K2-AI</t>
  </si>
  <si>
    <t xml:space="preserve">Formula IRPEF usata nei scenari:  =MIN(X,28000)×23%  +  MAX(0,MIN(X,50000)−28000)×35%  +  MAX(0,X−50000)×43%</t>
  </si>
  <si>
    <t xml:space="preserve">SCENARIO A — TUTTO COMPENSI  (Luca + Jessica azzerano utile SRL)</t>
  </si>
  <si>
    <t xml:space="preserve">Ipotesi: la SRL distribuisce l'intero utile come compenso agli amministratori, azzerando la base IRES. Ogni euro di profitto passa per IRPEF + INPS gestione separata.</t>
  </si>
  <si>
    <t xml:space="preserve">① SRL — Distribuzione come compenso</t>
  </si>
  <si>
    <t xml:space="preserve">Utile lordo SRL (ante compensi, ante IRES)</t>
  </si>
  <si>
    <t xml:space="preserve">Stessa base per tutti e 3 gli scenari</t>
  </si>
  <si>
    <t xml:space="preserve">Compenso lordo Luca (calcolato per azzerare utile)</t>
  </si>
  <si>
    <t xml:space="preserve">Azzeramento: utile = 2 × comp × (1 + INPS_D)</t>
  </si>
  <si>
    <t xml:space="preserve">Compenso lordo Jessica (uguale a Luca)</t>
  </si>
  <si>
    <t xml:space="preserve">INPS datore — su compenso Luca</t>
  </si>
  <si>
    <t xml:space="preserve">Costo aggiuntivo SRL sopra al compenso lordo</t>
  </si>
  <si>
    <t xml:space="preserve">INPS datore — su compenso Jessica</t>
  </si>
  <si>
    <t xml:space="preserve">Totale costi deducibili SRL (compensi + INPS datori)</t>
  </si>
  <si>
    <t xml:space="preserve">Dovrebbe ≈ utile lordo SRL</t>
  </si>
  <si>
    <t xml:space="preserve">Base imponibile IRES</t>
  </si>
  <si>
    <t xml:space="preserve">≈ 0 — utile azzerato</t>
  </si>
  <si>
    <t xml:space="preserve">IRES pagata da SRL</t>
  </si>
  <si>
    <t xml:space="preserve">≈ 0</t>
  </si>
  <si>
    <t xml:space="preserve">Utile netto SRL post-IRES</t>
  </si>
  <si>
    <t xml:space="preserve">② Livello personale — Luca Rossi (amministratore)</t>
  </si>
  <si>
    <t xml:space="preserve">Compenso lordo ricevuto</t>
  </si>
  <si>
    <t xml:space="preserve">(-) INPS quota lavoratore (1/3 totale INPS)</t>
  </si>
  <si>
    <t xml:space="preserve">Trattenuta deducibile ai fini IRPEF</t>
  </si>
  <si>
    <t xml:space="preserve">(=) Reddito imponibile IRPEF</t>
  </si>
  <si>
    <t xml:space="preserve">Base per calcolo IRPEF</t>
  </si>
  <si>
    <t xml:space="preserve">(-) IRPEF (scaglioni 23% / 35% / 43%)</t>
  </si>
  <si>
    <t xml:space="preserve">(=) NETTO IN TASCA — LUCA</t>
  </si>
  <si>
    <t xml:space="preserve">③ Livello personale — Jessica Romanelli (amministratrice)</t>
  </si>
  <si>
    <t xml:space="preserve">(-) INPS quota lavoratore</t>
  </si>
  <si>
    <t xml:space="preserve">(=) NETTO IN TASCA — JESSICA</t>
  </si>
  <si>
    <t xml:space="preserve">④ Riepilogo Scenario A</t>
  </si>
  <si>
    <t xml:space="preserve">Totale netto in tasca (Luca + Jessica)</t>
  </si>
  <si>
    <t xml:space="preserve">INPS totale (datori + lavoratori)</t>
  </si>
  <si>
    <t xml:space="preserve">IRPEF totale (Luca + Jessica)</t>
  </si>
  <si>
    <t xml:space="preserve">Utile ritenuto in SRL</t>
  </si>
  <si>
    <t xml:space="preserve">EFFICIENZA NETTA  (netto / utile lordo)</t>
  </si>
  <si>
    <t xml:space="preserve">SCENARIO B — TUTTO DIVIDENDI via Società Semplice (SS)</t>
  </si>
  <si>
    <t xml:space="preserve">Ipotesi: la SRL non paga compensi. Paga IRES 24% sull'intero utile, poi distribuisce tutto l'utile netto come dividendi alla SS (Luca 50% + Jessica 50%). Dividendi qualificati: 49,72% incluso in IRPEF personale, NO ritenuta secca 26%.</t>
  </si>
  <si>
    <t xml:space="preserve">① SRL — Pagamento IRES e distribuzione utile netto</t>
  </si>
  <si>
    <t xml:space="preserve">Utile lordo SRL (ante IRES; nessun compenso)</t>
  </si>
  <si>
    <t xml:space="preserve">Nessun compenso pagato agli amministratori</t>
  </si>
  <si>
    <t xml:space="preserve">Compensi = 0 in questo scenario</t>
  </si>
  <si>
    <t xml:space="preserve">Base imponibile IRES (= utile lordo)</t>
  </si>
  <si>
    <t xml:space="preserve">IRES pagata (24%)</t>
  </si>
  <si>
    <t xml:space="preserve">Utile netto SRL post-IRES (disponibile per distribuzione)</t>
  </si>
  <si>
    <t xml:space="preserve">Dividendo distribuito alla SS (100% dell'utile netto)</t>
  </si>
  <si>
    <t xml:space="preserve">La SS riceve la totalità; Luca e Jessica al 50% ciascuno</t>
  </si>
  <si>
    <t xml:space="preserve">② Livello personale — Luca Rossi (50% SS → 50% dividendo)</t>
  </si>
  <si>
    <t xml:space="preserve">Dividendo lordo SS attribuito a Luca (50%)</t>
  </si>
  <si>
    <t xml:space="preserve">Quota imponibile IRPEF (49,72% — partecip. qualificata)</t>
  </si>
  <si>
    <t xml:space="preserve">Solo 49,72% entra in IRPEF — art. 47 c.1 TUIR</t>
  </si>
  <si>
    <t xml:space="preserve">(-) IRPEF (Luca)</t>
  </si>
  <si>
    <t xml:space="preserve">Calcolata sugli scaglioni — non ritenuta secca</t>
  </si>
  <si>
    <t xml:space="preserve">INPS su dividendi</t>
  </si>
  <si>
    <t xml:space="preserve">Nessuna contribuzione INPS sui dividendi</t>
  </si>
  <si>
    <t xml:space="preserve">③ Livello personale — Jessica Romanelli (50% SS → 50% dividendo)</t>
  </si>
  <si>
    <t xml:space="preserve">Dividendo lordo SS attribuito a Jessica (50%)</t>
  </si>
  <si>
    <t xml:space="preserve">Quota imponibile IRPEF (49,72%)</t>
  </si>
  <si>
    <t xml:space="preserve">(-) IRPEF (Jessica)</t>
  </si>
  <si>
    <t xml:space="preserve">④ Riepilogo Scenario B</t>
  </si>
  <si>
    <t xml:space="preserve">INPS totale</t>
  </si>
  <si>
    <t xml:space="preserve">TOTALE IMPOSTE + ONERI</t>
  </si>
  <si>
    <t xml:space="preserve">⚠ NOTA: I dividendi qualificati (&gt;20% voti o &gt;25% cap.) ricevuti tramite SS confluiscono nel reddito complessivo IRPEF. Se Luca o Jessica hanno altri redditi, l'IRPEF effettiva può essere più alta. Verificare con il commercialista.</t>
  </si>
  <si>
    <t xml:space="preserve">SCENARIO C — MIX OTTIMALE  (Compenso calibrato + Dividendi + Utile ritenuto)</t>
  </si>
  <si>
    <t xml:space="preserve">Ipotesi: compenso calibrato al 1° scaglione IRPEF (28.000 €/ciascuno), residuo soggetto a IRES, poi 80% distribuito come dividendo via SS e 20% ritenuto in SRL per autofinanziamento crescita K2-AI.</t>
  </si>
  <si>
    <t xml:space="preserve">① SRL — Compenso parziale + IRES sul residuo + distribuzione</t>
  </si>
  <si>
    <t xml:space="preserve">Compenso lordo Luca (input — modificabile in Parametri!B15)</t>
  </si>
  <si>
    <t xml:space="preserve">Input BLU in foglio Parametri, riga 15</t>
  </si>
  <si>
    <t xml:space="preserve">Compenso lordo Jessica (input — modificabile in Parametri!B16)</t>
  </si>
  <si>
    <t xml:space="preserve">Input BLU in foglio Parametri, riga 16</t>
  </si>
  <si>
    <t xml:space="preserve">Totale costi deducibili SRL</t>
  </si>
  <si>
    <t xml:space="preserve">Compensi + INPS datori</t>
  </si>
  <si>
    <t xml:space="preserve">Utile ridotto ma non azzerato</t>
  </si>
  <si>
    <t xml:space="preserve">Disponibile per distribuzione o ritenzione</t>
  </si>
  <si>
    <t xml:space="preserve">Dividendo distribuito alla SS (% da Parametri!B17)</t>
  </si>
  <si>
    <t xml:space="preserve">80% in default — modif. in Parametri!B17</t>
  </si>
  <si>
    <t xml:space="preserve">Utile ritenuto in SRL (reinvestimento)</t>
  </si>
  <si>
    <t xml:space="preserve">Autofinanziamento; aumenta equity SRL</t>
  </si>
  <si>
    <t xml:space="preserve">② Livello personale — Luca Rossi (compenso + quota dividendo SS)</t>
  </si>
  <si>
    <t xml:space="preserve">Compenso lordo</t>
  </si>
  <si>
    <t xml:space="preserve">Deducibile IRPEF</t>
  </si>
  <si>
    <t xml:space="preserve">Reddito imponibile da compenso</t>
  </si>
  <si>
    <t xml:space="preserve">Dividendo da SS attribuito a Luca (50%)</t>
  </si>
  <si>
    <t xml:space="preserve">Quota imponibile IRPEF del dividendo (49,72%)</t>
  </si>
  <si>
    <t xml:space="preserve">TOTALE reddito imponibile IRPEF (compenso + dividendo)</t>
  </si>
  <si>
    <t xml:space="preserve">I due flussi si sommano in dichiarazione</t>
  </si>
  <si>
    <t xml:space="preserve">(-) IRPEF totale (Luca) — scaglioni su reddito cumulato</t>
  </si>
  <si>
    <t xml:space="preserve">Il dividendo può "spingere" in uno scaglione superiore</t>
  </si>
  <si>
    <t xml:space="preserve">(=) Cash netto Luca:  (compenso netto) + (dividendo netto)</t>
  </si>
  <si>
    <t xml:space="preserve">(comp lordo − INPS lav) + dividendo − IRPEF totale</t>
  </si>
  <si>
    <t xml:space="preserve">Quota utile ritenuto di pertinenza Luca (50%)</t>
  </si>
  <si>
    <t xml:space="preserve">Valore economico non liquido — aumenta equity SS</t>
  </si>
  <si>
    <t xml:space="preserve">Valore economico totale Luca (cash + equity ritenuta)</t>
  </si>
  <si>
    <t xml:space="preserve">③ Livello personale — Jessica Romanelli (compenso + quota dividendo SS)</t>
  </si>
  <si>
    <t xml:space="preserve">Dividendo da SS attribuito a Jessica (50%)</t>
  </si>
  <si>
    <t xml:space="preserve">TOTALE reddito imponibile IRPEF (Jessica)</t>
  </si>
  <si>
    <t xml:space="preserve">(-) IRPEF totale (Jessica)</t>
  </si>
  <si>
    <t xml:space="preserve">(=) Cash netto Jessica</t>
  </si>
  <si>
    <t xml:space="preserve">Quota utile ritenuto di pertinenza Jessica (50%)</t>
  </si>
  <si>
    <t xml:space="preserve">Valore economico totale Jessica</t>
  </si>
  <si>
    <t xml:space="preserve">④ Riepilogo Scenario C</t>
  </si>
  <si>
    <t xml:space="preserve">Cash totale in tasca (Luca + Jessica)</t>
  </si>
  <si>
    <t xml:space="preserve">Utile ritenuto in SRL (per crescita K2-AI)</t>
  </si>
  <si>
    <t xml:space="preserve">EFFICIENZA CASH (cash netto / utile lordo)</t>
  </si>
  <si>
    <t xml:space="preserve">EFFICIENZA TOTALE (incl. ritenuto / utile lordo)</t>
  </si>
  <si>
    <t xml:space="preserve">ℹ NOTA: L'utile ritenuto in SRL rappresenta un valore economico ma non è immediatamente liquidabile. Aumenta il valore della partecipazione SS→SRL. Quando sarà distribuito in futuro, sarà soggetto alla stessa tassazione da dividendo.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</si>
</sst>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8B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B0000"/>
      </patternFill>
    </fill>
    <fill>
      <patternFill patternType="solid">
        <fgColor rgb="FF375623"/>
        <bgColor rgb="FF444444"/>
      </patternFill>
    </fill>
    <fill>
      <patternFill patternType="solid">
        <fgColor rgb="FF7030A0"/>
        <bgColor rgb="FF993366"/>
      </patternFill>
    </fill>
    <fill>
      <patternFill patternType="solid">
        <fgColor rgb="FF2F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E2CFEE"/>
      </patternFill>
    </fill>
    <fill>
      <patternFill patternType="solid">
        <fgColor rgb="FFFFE0E0"/>
        <bgColor rgb="FFFCE4D6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F2F2F2"/>
      </patternFill>
    </fill>
    <fill>
      <patternFill patternType="solid">
        <fgColor rgb="FFE2CFEE"/>
        <bgColor rgb="FFFFE0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E2CFEE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F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36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5" t="s">
        <v>3</v>
      </c>
      <c r="C3" s="6" t="s">
        <v>4</v>
      </c>
      <c r="D3" s="7" t="s">
        <v>5</v>
      </c>
      <c r="E3" s="8" t="s">
        <v>6</v>
      </c>
    </row>
    <row r="4" customFormat="false" ht="18" hidden="false" customHeight="true" outlineLevel="0" collapsed="false">
      <c r="A4" s="9" t="s">
        <v>7</v>
      </c>
      <c r="B4" s="9"/>
      <c r="C4" s="9"/>
      <c r="D4" s="9"/>
      <c r="E4" s="9"/>
    </row>
    <row r="5" customFormat="false" ht="18" hidden="false" customHeight="true" outlineLevel="0" collapsed="false">
      <c r="A5" s="10" t="s">
        <v>8</v>
      </c>
      <c r="B5" s="11" t="n">
        <f aca="false">Parametri!B4</f>
        <v>150000</v>
      </c>
      <c r="C5" s="11" t="n">
        <f aca="false">Parametri!B4</f>
        <v>150000</v>
      </c>
      <c r="D5" s="11" t="n">
        <f aca="false">Parametri!B4</f>
        <v>150000</v>
      </c>
      <c r="E5" s="12" t="s">
        <v>9</v>
      </c>
    </row>
    <row r="6" customFormat="false" ht="18" hidden="false" customHeight="true" outlineLevel="0" collapsed="false">
      <c r="A6" s="9" t="s">
        <v>10</v>
      </c>
      <c r="B6" s="9"/>
      <c r="C6" s="9"/>
      <c r="D6" s="9"/>
      <c r="E6" s="9"/>
    </row>
    <row r="7" customFormat="false" ht="18" hidden="false" customHeight="true" outlineLevel="0" collapsed="false">
      <c r="A7" s="13" t="s">
        <v>11</v>
      </c>
      <c r="B7" s="14" t="n">
        <f aca="false">Scenario_A!B11</f>
        <v>0</v>
      </c>
      <c r="C7" s="14" t="n">
        <f aca="false">Scenario_B!B7</f>
        <v>36000</v>
      </c>
      <c r="D7" s="14" t="n">
        <f aca="false">Scenario_C!B11</f>
        <v>20230.4</v>
      </c>
      <c r="E7" s="15"/>
    </row>
    <row r="8" customFormat="false" ht="18" hidden="false" customHeight="true" outlineLevel="0" collapsed="false">
      <c r="A8" s="10" t="s">
        <v>12</v>
      </c>
      <c r="B8" s="11" t="n">
        <f aca="false">Scenario_A!B5+Scenario_A!B6</f>
        <v>127840.909090909</v>
      </c>
      <c r="C8" s="11" t="n">
        <v>0</v>
      </c>
      <c r="D8" s="11" t="n">
        <f aca="false">Scenario_C!B5+Scenario_C!B6</f>
        <v>56000</v>
      </c>
      <c r="E8" s="12"/>
    </row>
    <row r="9" customFormat="false" ht="18" hidden="false" customHeight="true" outlineLevel="0" collapsed="false">
      <c r="A9" s="13" t="s">
        <v>13</v>
      </c>
      <c r="B9" s="14" t="n">
        <f aca="false">Scenario_A!B7+Scenario_A!B8</f>
        <v>22159.0909090909</v>
      </c>
      <c r="C9" s="14" t="n">
        <v>0</v>
      </c>
      <c r="D9" s="14" t="n">
        <f aca="false">Scenario_C!B7+Scenario_C!B8</f>
        <v>9706.66666666667</v>
      </c>
      <c r="E9" s="15"/>
    </row>
    <row r="10" customFormat="false" ht="18" hidden="false" customHeight="true" outlineLevel="0" collapsed="false">
      <c r="A10" s="10" t="s">
        <v>14</v>
      </c>
      <c r="B10" s="11" t="n">
        <f aca="false">Scenario_A!B12</f>
        <v>0</v>
      </c>
      <c r="C10" s="11" t="n">
        <f aca="false">Scenario_B!B8</f>
        <v>114000</v>
      </c>
      <c r="D10" s="11" t="n">
        <f aca="false">Scenario_C!B12</f>
        <v>64062.9333333333</v>
      </c>
      <c r="E10" s="12"/>
    </row>
    <row r="11" customFormat="false" ht="18" hidden="false" customHeight="true" outlineLevel="0" collapsed="false">
      <c r="A11" s="13" t="s">
        <v>15</v>
      </c>
      <c r="B11" s="14" t="n">
        <f aca="false">Scenario_A!B12</f>
        <v>0</v>
      </c>
      <c r="C11" s="14" t="n">
        <v>0</v>
      </c>
      <c r="D11" s="14" t="n">
        <f aca="false">Scenario_C!B14</f>
        <v>12812.5866666667</v>
      </c>
      <c r="E11" s="15" t="s">
        <v>16</v>
      </c>
    </row>
    <row r="12" customFormat="false" ht="18" hidden="false" customHeight="true" outlineLevel="0" collapsed="false">
      <c r="A12" s="9" t="s">
        <v>17</v>
      </c>
      <c r="B12" s="9"/>
      <c r="C12" s="9"/>
      <c r="D12" s="9"/>
      <c r="E12" s="9"/>
    </row>
    <row r="13" customFormat="false" ht="18" hidden="false" customHeight="true" outlineLevel="0" collapsed="false">
      <c r="A13" s="16" t="s">
        <v>18</v>
      </c>
      <c r="B13" s="17" t="n">
        <f aca="false">Scenario_A!B18</f>
        <v>40636.9886363636</v>
      </c>
      <c r="C13" s="17" t="n">
        <f aca="false">Scenario_B!B15</f>
        <v>50440.86</v>
      </c>
      <c r="D13" s="17" t="n">
        <f aca="false">Scenario_C!B23</f>
        <v>41148.5473365333</v>
      </c>
      <c r="E13" s="15"/>
    </row>
    <row r="14" customFormat="false" ht="18" hidden="false" customHeight="true" outlineLevel="0" collapsed="false">
      <c r="A14" s="10" t="s">
        <v>19</v>
      </c>
      <c r="B14" s="11" t="n">
        <f aca="false">Scenario_A!B15</f>
        <v>5539.77272727273</v>
      </c>
      <c r="C14" s="11" t="n">
        <v>0</v>
      </c>
      <c r="D14" s="11" t="n">
        <f aca="false">Scenario_C!B17</f>
        <v>2426.66666666667</v>
      </c>
      <c r="E14" s="12"/>
    </row>
    <row r="15" customFormat="false" ht="18" hidden="false" customHeight="true" outlineLevel="0" collapsed="false">
      <c r="A15" s="13" t="s">
        <v>20</v>
      </c>
      <c r="B15" s="14" t="n">
        <f aca="false">Scenario_A!B17</f>
        <v>17743.6931818182</v>
      </c>
      <c r="C15" s="14" t="n">
        <f aca="false">Scenario_B!B13</f>
        <v>6559.14</v>
      </c>
      <c r="D15" s="14" t="n">
        <f aca="false">Scenario_C!B22</f>
        <v>10049.9593301333</v>
      </c>
      <c r="E15" s="15"/>
    </row>
    <row r="16" customFormat="false" ht="18" hidden="false" customHeight="true" outlineLevel="0" collapsed="false">
      <c r="A16" s="9" t="s">
        <v>21</v>
      </c>
      <c r="B16" s="9"/>
      <c r="C16" s="9"/>
      <c r="D16" s="9"/>
      <c r="E16" s="9"/>
    </row>
    <row r="17" customFormat="false" ht="18" hidden="false" customHeight="true" outlineLevel="0" collapsed="false">
      <c r="A17" s="16" t="s">
        <v>22</v>
      </c>
      <c r="B17" s="17" t="n">
        <f aca="false">Scenario_A!B24</f>
        <v>40636.9886363636</v>
      </c>
      <c r="C17" s="17" t="n">
        <f aca="false">Scenario_B!B21</f>
        <v>50440.86</v>
      </c>
      <c r="D17" s="17" t="n">
        <f aca="false">Scenario_C!B34</f>
        <v>41148.5473365333</v>
      </c>
      <c r="E17" s="15"/>
    </row>
    <row r="18" customFormat="false" ht="18" hidden="false" customHeight="true" outlineLevel="0" collapsed="false">
      <c r="A18" s="10" t="s">
        <v>23</v>
      </c>
      <c r="B18" s="11" t="n">
        <f aca="false">Scenario_A!B21</f>
        <v>5539.77272727273</v>
      </c>
      <c r="C18" s="11" t="n">
        <v>0</v>
      </c>
      <c r="D18" s="11" t="n">
        <f aca="false">Scenario_C!B28</f>
        <v>2426.66666666667</v>
      </c>
      <c r="E18" s="12"/>
    </row>
    <row r="19" customFormat="false" ht="18" hidden="false" customHeight="true" outlineLevel="0" collapsed="false">
      <c r="A19" s="13" t="s">
        <v>24</v>
      </c>
      <c r="B19" s="14" t="n">
        <f aca="false">Scenario_A!B23</f>
        <v>17743.6931818182</v>
      </c>
      <c r="C19" s="14" t="n">
        <f aca="false">Scenario_B!B19</f>
        <v>6559.14</v>
      </c>
      <c r="D19" s="14" t="n">
        <f aca="false">Scenario_C!B33</f>
        <v>10049.9593301333</v>
      </c>
      <c r="E19" s="15"/>
    </row>
    <row r="20" customFormat="false" ht="18" hidden="false" customHeight="true" outlineLevel="0" collapsed="false">
      <c r="A20" s="9" t="s">
        <v>25</v>
      </c>
      <c r="B20" s="9"/>
      <c r="C20" s="9"/>
      <c r="D20" s="9"/>
      <c r="E20" s="9"/>
    </row>
    <row r="21" customFormat="false" ht="18" hidden="false" customHeight="true" outlineLevel="0" collapsed="false">
      <c r="A21" s="18" t="s">
        <v>26</v>
      </c>
      <c r="B21" s="19" t="n">
        <f aca="false">Scenario_A!B26</f>
        <v>81273.9772727273</v>
      </c>
      <c r="C21" s="19" t="n">
        <f aca="false">Scenario_B!B23</f>
        <v>100881.72</v>
      </c>
      <c r="D21" s="19" t="n">
        <f aca="false">Scenario_C!B38</f>
        <v>82297.0946730667</v>
      </c>
      <c r="E21" s="20"/>
    </row>
    <row r="22" customFormat="false" ht="18" hidden="false" customHeight="true" outlineLevel="0" collapsed="false">
      <c r="A22" s="21" t="s">
        <v>27</v>
      </c>
      <c r="B22" s="22" t="n">
        <f aca="false">Scenario_A!B30</f>
        <v>68726.0227272727</v>
      </c>
      <c r="C22" s="22" t="n">
        <f aca="false">Scenario_B!B27</f>
        <v>49118.28</v>
      </c>
      <c r="D22" s="22" t="n">
        <f aca="false">Scenario_C!B44</f>
        <v>54890.3186602667</v>
      </c>
      <c r="E22" s="23"/>
    </row>
    <row r="23" customFormat="false" ht="18" hidden="false" customHeight="true" outlineLevel="0" collapsed="false">
      <c r="A23" s="10" t="s">
        <v>28</v>
      </c>
      <c r="B23" s="11" t="n">
        <v>0</v>
      </c>
      <c r="C23" s="11" t="n">
        <v>0</v>
      </c>
      <c r="D23" s="11" t="n">
        <f aca="false">Scenario_C!B14</f>
        <v>12812.5866666667</v>
      </c>
      <c r="E23" s="12"/>
    </row>
    <row r="24" customFormat="false" ht="18" hidden="false" customHeight="true" outlineLevel="0" collapsed="false">
      <c r="A24" s="18" t="s">
        <v>29</v>
      </c>
      <c r="B24" s="19" t="n">
        <f aca="false">Scenario_A!B26</f>
        <v>81273.9772727273</v>
      </c>
      <c r="C24" s="19" t="n">
        <f aca="false">Scenario_B!B23</f>
        <v>100881.72</v>
      </c>
      <c r="D24" s="19" t="n">
        <f aca="false">Scenario_C!B40</f>
        <v>95109.6813397333</v>
      </c>
      <c r="E24" s="20"/>
    </row>
    <row r="25" customFormat="false" ht="18" hidden="false" customHeight="true" outlineLevel="0" collapsed="false">
      <c r="A25" s="24" t="s">
        <v>30</v>
      </c>
      <c r="B25" s="25" t="n">
        <f aca="false">Scenario_A!B32</f>
        <v>0.541826515151515</v>
      </c>
      <c r="C25" s="25" t="n">
        <f aca="false">Scenario_B!B29</f>
        <v>0.6725448</v>
      </c>
      <c r="D25" s="25" t="n">
        <f aca="false">Scenario_C!B45</f>
        <v>0.548647297820444</v>
      </c>
      <c r="E25" s="26"/>
    </row>
    <row r="26" customFormat="false" ht="18" hidden="false" customHeight="true" outlineLevel="0" collapsed="false">
      <c r="A26" s="27" t="s">
        <v>31</v>
      </c>
      <c r="B26" s="28" t="n">
        <f aca="false">Scenario_A!B32</f>
        <v>0.541826515151515</v>
      </c>
      <c r="C26" s="28" t="n">
        <f aca="false">Scenario_B!B29</f>
        <v>0.6725448</v>
      </c>
      <c r="D26" s="28" t="n">
        <f aca="false">Scenario_C!B46</f>
        <v>0.634064542264889</v>
      </c>
      <c r="E26" s="26" t="s">
        <v>32</v>
      </c>
    </row>
    <row r="27" customFormat="false" ht="18" hidden="false" customHeight="true" outlineLevel="0" collapsed="false"/>
    <row r="28" customFormat="false" ht="39.75" hidden="false" customHeight="true" outlineLevel="0" collapsed="false">
      <c r="A28" s="29" t="s">
        <v>33</v>
      </c>
      <c r="B28" s="29"/>
      <c r="C28" s="29"/>
      <c r="D28" s="29"/>
      <c r="E28" s="29"/>
    </row>
  </sheetData>
  <mergeCells count="8">
    <mergeCell ref="A1:E1"/>
    <mergeCell ref="A2:E2"/>
    <mergeCell ref="A4:E4"/>
    <mergeCell ref="A6:E6"/>
    <mergeCell ref="A12:E12"/>
    <mergeCell ref="A16:E16"/>
    <mergeCell ref="A20:E20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22"/>
    <col collapsed="false" customWidth="true" hidden="false" outlineLevel="0" max="3" min="3" style="1" width="50"/>
  </cols>
  <sheetData>
    <row r="1" customFormat="false" ht="27.75" hidden="false" customHeight="true" outlineLevel="0" collapsed="false">
      <c r="A1" s="2" t="s">
        <v>34</v>
      </c>
      <c r="B1" s="2"/>
      <c r="C1" s="2"/>
    </row>
    <row r="2" customFormat="false" ht="31.5" hidden="false" customHeight="true" outlineLevel="0" collapsed="false">
      <c r="A2" s="3" t="s">
        <v>35</v>
      </c>
      <c r="B2" s="3"/>
      <c r="C2" s="3"/>
    </row>
    <row r="3" customFormat="false" ht="15" hidden="false" customHeight="true" outlineLevel="0" collapsed="false">
      <c r="A3" s="30" t="s">
        <v>36</v>
      </c>
      <c r="B3" s="30" t="s">
        <v>37</v>
      </c>
      <c r="C3" s="30" t="s">
        <v>6</v>
      </c>
    </row>
    <row r="4" customFormat="false" ht="18" hidden="false" customHeight="true" outlineLevel="0" collapsed="false">
      <c r="A4" s="10" t="s">
        <v>38</v>
      </c>
      <c r="B4" s="31" t="n">
        <v>150000</v>
      </c>
      <c r="C4" s="12" t="s">
        <v>39</v>
      </c>
    </row>
    <row r="5" customFormat="false" ht="18" hidden="false" customHeight="true" outlineLevel="0" collapsed="false">
      <c r="A5" s="13" t="s">
        <v>40</v>
      </c>
      <c r="B5" s="32" t="n">
        <v>0.24</v>
      </c>
      <c r="C5" s="15" t="s">
        <v>41</v>
      </c>
    </row>
    <row r="6" customFormat="false" ht="18" hidden="false" customHeight="true" outlineLevel="0" collapsed="false">
      <c r="A6" s="10" t="s">
        <v>42</v>
      </c>
      <c r="B6" s="32" t="n">
        <v>0.26</v>
      </c>
      <c r="C6" s="12" t="s">
        <v>43</v>
      </c>
    </row>
    <row r="7" customFormat="false" ht="18" hidden="false" customHeight="true" outlineLevel="0" collapsed="false">
      <c r="A7" s="13" t="s">
        <v>44</v>
      </c>
      <c r="B7" s="33" t="n">
        <f aca="false">B6*2/3</f>
        <v>0.173333333333333</v>
      </c>
      <c r="C7" s="15" t="s">
        <v>45</v>
      </c>
    </row>
    <row r="8" customFormat="false" ht="18" hidden="false" customHeight="true" outlineLevel="0" collapsed="false">
      <c r="A8" s="10" t="s">
        <v>46</v>
      </c>
      <c r="B8" s="34" t="n">
        <f aca="false">B6*1/3</f>
        <v>0.0866666666666667</v>
      </c>
      <c r="C8" s="12" t="s">
        <v>47</v>
      </c>
    </row>
    <row r="9" customFormat="false" ht="18" hidden="false" customHeight="true" outlineLevel="0" collapsed="false">
      <c r="A9" s="13" t="s">
        <v>48</v>
      </c>
      <c r="B9" s="31" t="n">
        <v>28000</v>
      </c>
      <c r="C9" s="15" t="s">
        <v>49</v>
      </c>
    </row>
    <row r="10" customFormat="false" ht="18" hidden="false" customHeight="true" outlineLevel="0" collapsed="false">
      <c r="A10" s="10" t="s">
        <v>50</v>
      </c>
      <c r="B10" s="32" t="n">
        <v>0.23</v>
      </c>
      <c r="C10" s="12"/>
    </row>
    <row r="11" customFormat="false" ht="18" hidden="false" customHeight="true" outlineLevel="0" collapsed="false">
      <c r="A11" s="13" t="s">
        <v>51</v>
      </c>
      <c r="B11" s="31" t="n">
        <v>50000</v>
      </c>
      <c r="C11" s="15" t="s">
        <v>52</v>
      </c>
    </row>
    <row r="12" customFormat="false" ht="18" hidden="false" customHeight="true" outlineLevel="0" collapsed="false">
      <c r="A12" s="10" t="s">
        <v>53</v>
      </c>
      <c r="B12" s="32" t="n">
        <v>0.35</v>
      </c>
      <c r="C12" s="12"/>
    </row>
    <row r="13" customFormat="false" ht="18" hidden="false" customHeight="true" outlineLevel="0" collapsed="false">
      <c r="A13" s="13" t="s">
        <v>54</v>
      </c>
      <c r="B13" s="32" t="n">
        <v>0.43</v>
      </c>
      <c r="C13" s="15" t="s">
        <v>55</v>
      </c>
    </row>
    <row r="14" customFormat="false" ht="18" hidden="false" customHeight="true" outlineLevel="0" collapsed="false">
      <c r="A14" s="10" t="s">
        <v>56</v>
      </c>
      <c r="B14" s="32" t="n">
        <v>0.4972</v>
      </c>
      <c r="C14" s="12" t="s">
        <v>57</v>
      </c>
    </row>
    <row r="15" customFormat="false" ht="18" hidden="false" customHeight="true" outlineLevel="0" collapsed="false">
      <c r="A15" s="13" t="s">
        <v>58</v>
      </c>
      <c r="B15" s="31" t="n">
        <v>28000</v>
      </c>
      <c r="C15" s="15" t="s">
        <v>59</v>
      </c>
    </row>
    <row r="16" customFormat="false" ht="18" hidden="false" customHeight="true" outlineLevel="0" collapsed="false">
      <c r="A16" s="10" t="s">
        <v>60</v>
      </c>
      <c r="B16" s="31" t="n">
        <v>28000</v>
      </c>
      <c r="C16" s="12" t="s">
        <v>61</v>
      </c>
    </row>
    <row r="17" customFormat="false" ht="18" hidden="false" customHeight="true" outlineLevel="0" collapsed="false">
      <c r="A17" s="13" t="s">
        <v>62</v>
      </c>
      <c r="B17" s="32" t="n">
        <v>0.8</v>
      </c>
      <c r="C17" s="15" t="s">
        <v>63</v>
      </c>
    </row>
    <row r="22" customFormat="false" ht="18" hidden="false" customHeight="true" outlineLevel="0" collapsed="false">
      <c r="A22" s="35" t="s">
        <v>64</v>
      </c>
      <c r="B22" s="35"/>
      <c r="C22" s="35"/>
    </row>
  </sheetData>
  <mergeCells count="3">
    <mergeCell ref="A1:C1"/>
    <mergeCell ref="A2:C2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36" t="s">
        <v>65</v>
      </c>
      <c r="B1" s="36"/>
      <c r="C1" s="36"/>
    </row>
    <row r="2" customFormat="false" ht="27.75" hidden="false" customHeight="true" outlineLevel="0" collapsed="false">
      <c r="A2" s="37" t="s">
        <v>66</v>
      </c>
      <c r="B2" s="37"/>
      <c r="C2" s="37"/>
    </row>
    <row r="3" customFormat="false" ht="19.5" hidden="false" customHeight="true" outlineLevel="0" collapsed="false">
      <c r="A3" s="38" t="s">
        <v>67</v>
      </c>
      <c r="B3" s="38"/>
      <c r="C3" s="38"/>
    </row>
    <row r="4" customFormat="false" ht="18" hidden="false" customHeight="true" outlineLevel="0" collapsed="false">
      <c r="A4" s="13" t="s">
        <v>68</v>
      </c>
      <c r="B4" s="14" t="n">
        <f aca="false">Parametri!B4</f>
        <v>150000</v>
      </c>
      <c r="C4" s="15" t="s">
        <v>69</v>
      </c>
    </row>
    <row r="5" customFormat="false" ht="18" hidden="false" customHeight="true" outlineLevel="0" collapsed="false">
      <c r="A5" s="10" t="s">
        <v>70</v>
      </c>
      <c r="B5" s="11" t="n">
        <f aca="false">Parametri!B4/(2*(1+Parametri!B7))</f>
        <v>63920.4545454545</v>
      </c>
      <c r="C5" s="12" t="s">
        <v>71</v>
      </c>
    </row>
    <row r="6" customFormat="false" ht="18" hidden="false" customHeight="true" outlineLevel="0" collapsed="false">
      <c r="A6" s="13" t="s">
        <v>72</v>
      </c>
      <c r="B6" s="14" t="n">
        <f aca="false">B5</f>
        <v>63920.4545454545</v>
      </c>
      <c r="C6" s="15"/>
    </row>
    <row r="7" customFormat="false" ht="18" hidden="false" customHeight="true" outlineLevel="0" collapsed="false">
      <c r="A7" s="10" t="s">
        <v>73</v>
      </c>
      <c r="B7" s="11" t="n">
        <f aca="false">B5*Parametri!B7</f>
        <v>11079.5454545455</v>
      </c>
      <c r="C7" s="12" t="s">
        <v>74</v>
      </c>
    </row>
    <row r="8" customFormat="false" ht="18" hidden="false" customHeight="true" outlineLevel="0" collapsed="false">
      <c r="A8" s="13" t="s">
        <v>75</v>
      </c>
      <c r="B8" s="14" t="n">
        <f aca="false">B6*Parametri!B7</f>
        <v>11079.5454545455</v>
      </c>
      <c r="C8" s="15"/>
    </row>
    <row r="9" customFormat="false" ht="18" hidden="false" customHeight="true" outlineLevel="0" collapsed="false">
      <c r="A9" s="10" t="s">
        <v>76</v>
      </c>
      <c r="B9" s="11" t="n">
        <f aca="false">B5+B6+B7+B8</f>
        <v>150000</v>
      </c>
      <c r="C9" s="12" t="s">
        <v>77</v>
      </c>
    </row>
    <row r="10" customFormat="false" ht="18" hidden="false" customHeight="true" outlineLevel="0" collapsed="false">
      <c r="A10" s="13" t="s">
        <v>78</v>
      </c>
      <c r="B10" s="14" t="n">
        <f aca="false">B4-B9</f>
        <v>0</v>
      </c>
      <c r="C10" s="15" t="s">
        <v>79</v>
      </c>
    </row>
    <row r="11" customFormat="false" ht="18" hidden="false" customHeight="true" outlineLevel="0" collapsed="false">
      <c r="A11" s="10" t="s">
        <v>80</v>
      </c>
      <c r="B11" s="11" t="n">
        <f aca="false">B10*Parametri!B5</f>
        <v>0</v>
      </c>
      <c r="C11" s="12" t="s">
        <v>81</v>
      </c>
    </row>
    <row r="12" customFormat="false" ht="18" hidden="false" customHeight="true" outlineLevel="0" collapsed="false">
      <c r="A12" s="13" t="s">
        <v>82</v>
      </c>
      <c r="B12" s="14" t="n">
        <f aca="false">B10-B11</f>
        <v>0</v>
      </c>
      <c r="C12" s="15"/>
    </row>
    <row r="13" customFormat="false" ht="19.5" hidden="false" customHeight="true" outlineLevel="0" collapsed="false">
      <c r="A13" s="39" t="s">
        <v>83</v>
      </c>
      <c r="B13" s="39"/>
      <c r="C13" s="39"/>
    </row>
    <row r="14" customFormat="false" ht="18" hidden="false" customHeight="true" outlineLevel="0" collapsed="false">
      <c r="A14" s="13" t="s">
        <v>84</v>
      </c>
      <c r="B14" s="14" t="n">
        <f aca="false">B5</f>
        <v>63920.4545454545</v>
      </c>
      <c r="C14" s="15"/>
    </row>
    <row r="15" customFormat="false" ht="18" hidden="false" customHeight="true" outlineLevel="0" collapsed="false">
      <c r="A15" s="10" t="s">
        <v>85</v>
      </c>
      <c r="B15" s="11" t="n">
        <f aca="false">B5*Parametri!B8</f>
        <v>5539.77272727273</v>
      </c>
      <c r="C15" s="12" t="s">
        <v>86</v>
      </c>
    </row>
    <row r="16" customFormat="false" ht="18" hidden="false" customHeight="true" outlineLevel="0" collapsed="false">
      <c r="A16" s="13" t="s">
        <v>87</v>
      </c>
      <c r="B16" s="14" t="n">
        <f aca="false">B14-B15</f>
        <v>58380.6818181818</v>
      </c>
      <c r="C16" s="15" t="s">
        <v>88</v>
      </c>
    </row>
    <row r="17" customFormat="false" ht="18" hidden="false" customHeight="true" outlineLevel="0" collapsed="false">
      <c r="A17" s="10" t="s">
        <v>89</v>
      </c>
      <c r="B17" s="11" t="n">
        <f aca="false">MIN(B16,Parametri!B9)*Parametri!B10+MAX(0,MIN(B16,Parametri!B11)-Parametri!B9)*Parametri!B12+MAX(0,B16-Parametri!B11)*Parametri!B13</f>
        <v>17743.6931818182</v>
      </c>
      <c r="C17" s="12"/>
    </row>
    <row r="18" customFormat="false" ht="18" hidden="false" customHeight="true" outlineLevel="0" collapsed="false">
      <c r="A18" s="40" t="s">
        <v>90</v>
      </c>
      <c r="B18" s="41" t="n">
        <f aca="false">B14-B15-B17</f>
        <v>40636.9886363636</v>
      </c>
      <c r="C18" s="42"/>
    </row>
    <row r="19" customFormat="false" ht="19.5" hidden="false" customHeight="true" outlineLevel="0" collapsed="false">
      <c r="A19" s="39" t="s">
        <v>91</v>
      </c>
      <c r="B19" s="39"/>
      <c r="C19" s="39"/>
    </row>
    <row r="20" customFormat="false" ht="18" hidden="false" customHeight="true" outlineLevel="0" collapsed="false">
      <c r="A20" s="13" t="s">
        <v>84</v>
      </c>
      <c r="B20" s="14" t="n">
        <f aca="false">B6</f>
        <v>63920.4545454545</v>
      </c>
      <c r="C20" s="15"/>
    </row>
    <row r="21" customFormat="false" ht="18" hidden="false" customHeight="true" outlineLevel="0" collapsed="false">
      <c r="A21" s="10" t="s">
        <v>92</v>
      </c>
      <c r="B21" s="11" t="n">
        <f aca="false">B6*Parametri!B8</f>
        <v>5539.77272727273</v>
      </c>
      <c r="C21" s="12"/>
    </row>
    <row r="22" customFormat="false" ht="18" hidden="false" customHeight="true" outlineLevel="0" collapsed="false">
      <c r="A22" s="13" t="s">
        <v>87</v>
      </c>
      <c r="B22" s="14" t="n">
        <f aca="false">B20-B21</f>
        <v>58380.6818181818</v>
      </c>
      <c r="C22" s="15"/>
    </row>
    <row r="23" customFormat="false" ht="18" hidden="false" customHeight="true" outlineLevel="0" collapsed="false">
      <c r="A23" s="10" t="s">
        <v>89</v>
      </c>
      <c r="B23" s="11" t="n">
        <f aca="false">MIN(B22,Parametri!B9)*Parametri!B10+MAX(0,MIN(B22,Parametri!B11)-Parametri!B9)*Parametri!B12+MAX(0,B22-Parametri!B11)*Parametri!B13</f>
        <v>17743.6931818182</v>
      </c>
      <c r="C23" s="12"/>
    </row>
    <row r="24" customFormat="false" ht="18" hidden="false" customHeight="true" outlineLevel="0" collapsed="false">
      <c r="A24" s="40" t="s">
        <v>93</v>
      </c>
      <c r="B24" s="41" t="n">
        <f aca="false">B20-B21-B23</f>
        <v>40636.9886363636</v>
      </c>
      <c r="C24" s="42"/>
    </row>
    <row r="25" customFormat="false" ht="19.5" hidden="false" customHeight="true" outlineLevel="0" collapsed="false">
      <c r="A25" s="43" t="s">
        <v>94</v>
      </c>
      <c r="B25" s="43"/>
      <c r="C25" s="43"/>
    </row>
    <row r="26" customFormat="false" ht="18" hidden="false" customHeight="true" outlineLevel="0" collapsed="false">
      <c r="A26" s="18" t="s">
        <v>95</v>
      </c>
      <c r="B26" s="19" t="n">
        <f aca="false">B18+B24</f>
        <v>81273.9772727273</v>
      </c>
      <c r="C26" s="44"/>
    </row>
    <row r="27" customFormat="false" ht="18" hidden="false" customHeight="true" outlineLevel="0" collapsed="false">
      <c r="A27" s="13" t="s">
        <v>80</v>
      </c>
      <c r="B27" s="14" t="n">
        <f aca="false">B11</f>
        <v>0</v>
      </c>
      <c r="C27" s="45"/>
    </row>
    <row r="28" customFormat="false" ht="18" hidden="false" customHeight="true" outlineLevel="0" collapsed="false">
      <c r="A28" s="10" t="s">
        <v>96</v>
      </c>
      <c r="B28" s="11" t="n">
        <f aca="false">B7+B8+B15+B21</f>
        <v>33238.6363636364</v>
      </c>
      <c r="C28" s="46"/>
    </row>
    <row r="29" customFormat="false" ht="18" hidden="false" customHeight="true" outlineLevel="0" collapsed="false">
      <c r="A29" s="13" t="s">
        <v>97</v>
      </c>
      <c r="B29" s="14" t="n">
        <f aca="false">B17+B23</f>
        <v>35487.3863636364</v>
      </c>
      <c r="C29" s="45"/>
    </row>
    <row r="30" customFormat="false" ht="18" hidden="false" customHeight="true" outlineLevel="0" collapsed="false">
      <c r="A30" s="21" t="s">
        <v>27</v>
      </c>
      <c r="B30" s="22" t="n">
        <f aca="false">B27+B28+B29</f>
        <v>68726.0227272727</v>
      </c>
      <c r="C30" s="47"/>
    </row>
    <row r="31" customFormat="false" ht="18" hidden="false" customHeight="true" outlineLevel="0" collapsed="false">
      <c r="A31" s="13" t="s">
        <v>98</v>
      </c>
      <c r="B31" s="14" t="n">
        <f aca="false">B12</f>
        <v>0</v>
      </c>
      <c r="C31" s="45"/>
    </row>
    <row r="32" customFormat="false" ht="18" hidden="false" customHeight="true" outlineLevel="0" collapsed="false">
      <c r="A32" s="24" t="s">
        <v>99</v>
      </c>
      <c r="B32" s="25" t="n">
        <f aca="false">B26/Parametri!B4</f>
        <v>0.541826515151515</v>
      </c>
      <c r="C32" s="48"/>
    </row>
  </sheetData>
  <mergeCells count="6">
    <mergeCell ref="A1:C1"/>
    <mergeCell ref="A2:C2"/>
    <mergeCell ref="A3:C3"/>
    <mergeCell ref="A13:C13"/>
    <mergeCell ref="A19:C19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49" t="s">
        <v>100</v>
      </c>
      <c r="B1" s="49"/>
      <c r="C1" s="49"/>
    </row>
    <row r="2" customFormat="false" ht="36" hidden="false" customHeight="true" outlineLevel="0" collapsed="false">
      <c r="A2" s="50" t="s">
        <v>101</v>
      </c>
      <c r="B2" s="50"/>
      <c r="C2" s="50"/>
    </row>
    <row r="3" customFormat="false" ht="19.5" hidden="false" customHeight="true" outlineLevel="0" collapsed="false">
      <c r="A3" s="39" t="s">
        <v>102</v>
      </c>
      <c r="B3" s="39"/>
      <c r="C3" s="39"/>
    </row>
    <row r="4" customFormat="false" ht="18" hidden="false" customHeight="true" outlineLevel="0" collapsed="false">
      <c r="A4" s="13" t="s">
        <v>103</v>
      </c>
      <c r="B4" s="14" t="n">
        <f aca="false">Parametri!B4</f>
        <v>150000</v>
      </c>
      <c r="C4" s="15"/>
    </row>
    <row r="5" customFormat="false" ht="18" hidden="false" customHeight="true" outlineLevel="0" collapsed="false">
      <c r="A5" s="10" t="s">
        <v>104</v>
      </c>
      <c r="B5" s="11" t="n">
        <v>0</v>
      </c>
      <c r="C5" s="12" t="s">
        <v>105</v>
      </c>
    </row>
    <row r="6" customFormat="false" ht="18" hidden="false" customHeight="true" outlineLevel="0" collapsed="false">
      <c r="A6" s="13" t="s">
        <v>106</v>
      </c>
      <c r="B6" s="14" t="n">
        <f aca="false">B4</f>
        <v>150000</v>
      </c>
      <c r="C6" s="15"/>
    </row>
    <row r="7" customFormat="false" ht="18" hidden="false" customHeight="true" outlineLevel="0" collapsed="false">
      <c r="A7" s="10" t="s">
        <v>107</v>
      </c>
      <c r="B7" s="11" t="n">
        <f aca="false">B6*Parametri!B5</f>
        <v>36000</v>
      </c>
      <c r="C7" s="12"/>
    </row>
    <row r="8" customFormat="false" ht="18" hidden="false" customHeight="true" outlineLevel="0" collapsed="false">
      <c r="A8" s="13" t="s">
        <v>108</v>
      </c>
      <c r="B8" s="14" t="n">
        <f aca="false">B6-B7</f>
        <v>114000</v>
      </c>
      <c r="C8" s="15"/>
    </row>
    <row r="9" customFormat="false" ht="18" hidden="false" customHeight="true" outlineLevel="0" collapsed="false">
      <c r="A9" s="10" t="s">
        <v>109</v>
      </c>
      <c r="B9" s="11" t="n">
        <f aca="false">B8</f>
        <v>114000</v>
      </c>
      <c r="C9" s="12" t="s">
        <v>110</v>
      </c>
    </row>
    <row r="10" customFormat="false" ht="19.5" hidden="false" customHeight="true" outlineLevel="0" collapsed="false">
      <c r="A10" s="39" t="s">
        <v>111</v>
      </c>
      <c r="B10" s="39"/>
      <c r="C10" s="39"/>
    </row>
    <row r="11" customFormat="false" ht="18" hidden="false" customHeight="true" outlineLevel="0" collapsed="false">
      <c r="A11" s="13" t="s">
        <v>112</v>
      </c>
      <c r="B11" s="14" t="n">
        <f aca="false">B9*0.5</f>
        <v>57000</v>
      </c>
      <c r="C11" s="15"/>
    </row>
    <row r="12" customFormat="false" ht="18" hidden="false" customHeight="true" outlineLevel="0" collapsed="false">
      <c r="A12" s="10" t="s">
        <v>113</v>
      </c>
      <c r="B12" s="11" t="n">
        <f aca="false">B11*Parametri!B14</f>
        <v>28340.4</v>
      </c>
      <c r="C12" s="12" t="s">
        <v>114</v>
      </c>
    </row>
    <row r="13" customFormat="false" ht="18" hidden="false" customHeight="true" outlineLevel="0" collapsed="false">
      <c r="A13" s="13" t="s">
        <v>115</v>
      </c>
      <c r="B13" s="14" t="n">
        <f aca="false">MIN(B12,Parametri!B9)*Parametri!B10+MAX(0,MIN(B12,Parametri!B11)-Parametri!B9)*Parametri!B12+MAX(0,B12-Parametri!B11)*Parametri!B13</f>
        <v>6559.14</v>
      </c>
      <c r="C13" s="15" t="s">
        <v>116</v>
      </c>
    </row>
    <row r="14" customFormat="false" ht="18" hidden="false" customHeight="true" outlineLevel="0" collapsed="false">
      <c r="A14" s="10" t="s">
        <v>117</v>
      </c>
      <c r="B14" s="11" t="n">
        <v>0</v>
      </c>
      <c r="C14" s="12" t="s">
        <v>118</v>
      </c>
    </row>
    <row r="15" customFormat="false" ht="18" hidden="false" customHeight="true" outlineLevel="0" collapsed="false">
      <c r="A15" s="40" t="s">
        <v>90</v>
      </c>
      <c r="B15" s="41" t="n">
        <f aca="false">B11-B13</f>
        <v>50440.86</v>
      </c>
      <c r="C15" s="42"/>
    </row>
    <row r="16" customFormat="false" ht="19.5" hidden="false" customHeight="true" outlineLevel="0" collapsed="false">
      <c r="A16" s="39" t="s">
        <v>119</v>
      </c>
      <c r="B16" s="39"/>
      <c r="C16" s="39"/>
    </row>
    <row r="17" customFormat="false" ht="18" hidden="false" customHeight="true" outlineLevel="0" collapsed="false">
      <c r="A17" s="13" t="s">
        <v>120</v>
      </c>
      <c r="B17" s="14" t="n">
        <f aca="false">B9*0.5</f>
        <v>57000</v>
      </c>
      <c r="C17" s="15"/>
    </row>
    <row r="18" customFormat="false" ht="18" hidden="false" customHeight="true" outlineLevel="0" collapsed="false">
      <c r="A18" s="10" t="s">
        <v>121</v>
      </c>
      <c r="B18" s="11" t="n">
        <f aca="false">B17*Parametri!B14</f>
        <v>28340.4</v>
      </c>
      <c r="C18" s="12"/>
    </row>
    <row r="19" customFormat="false" ht="18" hidden="false" customHeight="true" outlineLevel="0" collapsed="false">
      <c r="A19" s="13" t="s">
        <v>122</v>
      </c>
      <c r="B19" s="14" t="n">
        <f aca="false">MIN(B18,Parametri!B9)*Parametri!B10+MAX(0,MIN(B18,Parametri!B11)-Parametri!B9)*Parametri!B12+MAX(0,B18-Parametri!B11)*Parametri!B13</f>
        <v>6559.14</v>
      </c>
      <c r="C19" s="15"/>
    </row>
    <row r="20" customFormat="false" ht="18" hidden="false" customHeight="true" outlineLevel="0" collapsed="false">
      <c r="A20" s="10" t="s">
        <v>117</v>
      </c>
      <c r="B20" s="11" t="n">
        <v>0</v>
      </c>
      <c r="C20" s="12" t="s">
        <v>118</v>
      </c>
    </row>
    <row r="21" customFormat="false" ht="18" hidden="false" customHeight="true" outlineLevel="0" collapsed="false">
      <c r="A21" s="40" t="s">
        <v>93</v>
      </c>
      <c r="B21" s="41" t="n">
        <f aca="false">B17-B19</f>
        <v>50440.86</v>
      </c>
      <c r="C21" s="42"/>
    </row>
    <row r="22" customFormat="false" ht="19.5" hidden="false" customHeight="true" outlineLevel="0" collapsed="false">
      <c r="A22" s="43" t="s">
        <v>123</v>
      </c>
      <c r="B22" s="43"/>
      <c r="C22" s="43"/>
    </row>
    <row r="23" customFormat="false" ht="18" hidden="false" customHeight="true" outlineLevel="0" collapsed="false">
      <c r="A23" s="18" t="s">
        <v>95</v>
      </c>
      <c r="B23" s="19" t="n">
        <f aca="false">B15+B21</f>
        <v>100881.72</v>
      </c>
      <c r="C23" s="44"/>
    </row>
    <row r="24" customFormat="false" ht="18" hidden="false" customHeight="true" outlineLevel="0" collapsed="false">
      <c r="A24" s="13" t="s">
        <v>80</v>
      </c>
      <c r="B24" s="14" t="n">
        <f aca="false">B7</f>
        <v>36000</v>
      </c>
      <c r="C24" s="45"/>
    </row>
    <row r="25" customFormat="false" ht="18" hidden="false" customHeight="true" outlineLevel="0" collapsed="false">
      <c r="A25" s="10" t="s">
        <v>124</v>
      </c>
      <c r="B25" s="11" t="n">
        <v>0</v>
      </c>
      <c r="C25" s="46"/>
    </row>
    <row r="26" customFormat="false" ht="18" hidden="false" customHeight="true" outlineLevel="0" collapsed="false">
      <c r="A26" s="13" t="s">
        <v>97</v>
      </c>
      <c r="B26" s="14" t="n">
        <f aca="false">B13+B19</f>
        <v>13118.28</v>
      </c>
      <c r="C26" s="45"/>
    </row>
    <row r="27" customFormat="false" ht="18" hidden="false" customHeight="true" outlineLevel="0" collapsed="false">
      <c r="A27" s="21" t="s">
        <v>125</v>
      </c>
      <c r="B27" s="22" t="n">
        <f aca="false">B24+B25+B26</f>
        <v>49118.28</v>
      </c>
      <c r="C27" s="47"/>
    </row>
    <row r="28" customFormat="false" ht="18" hidden="false" customHeight="true" outlineLevel="0" collapsed="false">
      <c r="A28" s="13" t="s">
        <v>98</v>
      </c>
      <c r="B28" s="14" t="n">
        <v>0</v>
      </c>
      <c r="C28" s="45"/>
    </row>
    <row r="29" customFormat="false" ht="18" hidden="false" customHeight="true" outlineLevel="0" collapsed="false">
      <c r="A29" s="40" t="s">
        <v>99</v>
      </c>
      <c r="B29" s="51" t="n">
        <f aca="false">B23/Parametri!B4</f>
        <v>0.6725448</v>
      </c>
      <c r="C29" s="52"/>
    </row>
    <row r="30" customFormat="false" ht="42" hidden="false" customHeight="true" outlineLevel="0" collapsed="false">
      <c r="A30" s="3" t="s">
        <v>126</v>
      </c>
      <c r="B30" s="3"/>
      <c r="C30" s="3"/>
    </row>
  </sheetData>
  <mergeCells count="7">
    <mergeCell ref="A1:C1"/>
    <mergeCell ref="A2:C2"/>
    <mergeCell ref="A3:C3"/>
    <mergeCell ref="A10:C10"/>
    <mergeCell ref="A16:C16"/>
    <mergeCell ref="A22:C2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0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53" t="s">
        <v>127</v>
      </c>
      <c r="B1" s="53"/>
      <c r="C1" s="53"/>
    </row>
    <row r="2" customFormat="false" ht="36" hidden="false" customHeight="true" outlineLevel="0" collapsed="false">
      <c r="A2" s="54" t="s">
        <v>128</v>
      </c>
      <c r="B2" s="54"/>
      <c r="C2" s="54"/>
    </row>
    <row r="3" customFormat="false" ht="19.5" hidden="false" customHeight="true" outlineLevel="0" collapsed="false">
      <c r="A3" s="55" t="s">
        <v>129</v>
      </c>
      <c r="B3" s="55"/>
      <c r="C3" s="55"/>
    </row>
    <row r="4" customFormat="false" ht="18" hidden="false" customHeight="true" outlineLevel="0" collapsed="false">
      <c r="A4" s="13" t="s">
        <v>68</v>
      </c>
      <c r="B4" s="14" t="n">
        <f aca="false">Parametri!B4</f>
        <v>150000</v>
      </c>
      <c r="C4" s="15"/>
    </row>
    <row r="5" customFormat="false" ht="18" hidden="false" customHeight="true" outlineLevel="0" collapsed="false">
      <c r="A5" s="10" t="s">
        <v>130</v>
      </c>
      <c r="B5" s="11" t="n">
        <f aca="false">Parametri!B15</f>
        <v>28000</v>
      </c>
      <c r="C5" s="12" t="s">
        <v>131</v>
      </c>
    </row>
    <row r="6" customFormat="false" ht="18" hidden="false" customHeight="true" outlineLevel="0" collapsed="false">
      <c r="A6" s="13" t="s">
        <v>132</v>
      </c>
      <c r="B6" s="14" t="n">
        <f aca="false">Parametri!B16</f>
        <v>28000</v>
      </c>
      <c r="C6" s="15" t="s">
        <v>133</v>
      </c>
    </row>
    <row r="7" customFormat="false" ht="18" hidden="false" customHeight="true" outlineLevel="0" collapsed="false">
      <c r="A7" s="10" t="s">
        <v>73</v>
      </c>
      <c r="B7" s="11" t="n">
        <f aca="false">B5*Parametri!B7</f>
        <v>4853.33333333333</v>
      </c>
      <c r="C7" s="12"/>
    </row>
    <row r="8" customFormat="false" ht="18" hidden="false" customHeight="true" outlineLevel="0" collapsed="false">
      <c r="A8" s="13" t="s">
        <v>75</v>
      </c>
      <c r="B8" s="14" t="n">
        <f aca="false">B6*Parametri!B7</f>
        <v>4853.33333333333</v>
      </c>
      <c r="C8" s="15"/>
    </row>
    <row r="9" customFormat="false" ht="18" hidden="false" customHeight="true" outlineLevel="0" collapsed="false">
      <c r="A9" s="10" t="s">
        <v>134</v>
      </c>
      <c r="B9" s="11" t="n">
        <f aca="false">B5+B6+B7+B8</f>
        <v>65706.6666666667</v>
      </c>
      <c r="C9" s="12" t="s">
        <v>135</v>
      </c>
    </row>
    <row r="10" customFormat="false" ht="18" hidden="false" customHeight="true" outlineLevel="0" collapsed="false">
      <c r="A10" s="13" t="s">
        <v>78</v>
      </c>
      <c r="B10" s="14" t="n">
        <f aca="false">B4-B9</f>
        <v>84293.3333333333</v>
      </c>
      <c r="C10" s="15" t="s">
        <v>136</v>
      </c>
    </row>
    <row r="11" customFormat="false" ht="18" hidden="false" customHeight="true" outlineLevel="0" collapsed="false">
      <c r="A11" s="10" t="s">
        <v>80</v>
      </c>
      <c r="B11" s="11" t="n">
        <f aca="false">B10*Parametri!B5</f>
        <v>20230.4</v>
      </c>
      <c r="C11" s="12"/>
    </row>
    <row r="12" customFormat="false" ht="18" hidden="false" customHeight="true" outlineLevel="0" collapsed="false">
      <c r="A12" s="13" t="s">
        <v>82</v>
      </c>
      <c r="B12" s="14" t="n">
        <f aca="false">B10-B11</f>
        <v>64062.9333333333</v>
      </c>
      <c r="C12" s="15" t="s">
        <v>137</v>
      </c>
    </row>
    <row r="13" customFormat="false" ht="18" hidden="false" customHeight="true" outlineLevel="0" collapsed="false">
      <c r="A13" s="10" t="s">
        <v>138</v>
      </c>
      <c r="B13" s="11" t="n">
        <f aca="false">B12*Parametri!B17</f>
        <v>51250.3466666667</v>
      </c>
      <c r="C13" s="12" t="s">
        <v>139</v>
      </c>
    </row>
    <row r="14" customFormat="false" ht="18" hidden="false" customHeight="true" outlineLevel="0" collapsed="false">
      <c r="A14" s="13" t="s">
        <v>140</v>
      </c>
      <c r="B14" s="14" t="n">
        <f aca="false">B12-B13</f>
        <v>12812.5866666667</v>
      </c>
      <c r="C14" s="15" t="s">
        <v>141</v>
      </c>
    </row>
    <row r="15" customFormat="false" ht="19.5" hidden="false" customHeight="true" outlineLevel="0" collapsed="false">
      <c r="A15" s="55" t="s">
        <v>142</v>
      </c>
      <c r="B15" s="55"/>
      <c r="C15" s="55"/>
    </row>
    <row r="16" customFormat="false" ht="18" hidden="false" customHeight="true" outlineLevel="0" collapsed="false">
      <c r="A16" s="13" t="s">
        <v>143</v>
      </c>
      <c r="B16" s="14" t="n">
        <f aca="false">B5</f>
        <v>28000</v>
      </c>
      <c r="C16" s="15"/>
    </row>
    <row r="17" customFormat="false" ht="18" hidden="false" customHeight="true" outlineLevel="0" collapsed="false">
      <c r="A17" s="10" t="s">
        <v>92</v>
      </c>
      <c r="B17" s="11" t="n">
        <f aca="false">B5*Parametri!B8</f>
        <v>2426.66666666667</v>
      </c>
      <c r="C17" s="12" t="s">
        <v>144</v>
      </c>
    </row>
    <row r="18" customFormat="false" ht="18" hidden="false" customHeight="true" outlineLevel="0" collapsed="false">
      <c r="A18" s="13" t="s">
        <v>145</v>
      </c>
      <c r="B18" s="14" t="n">
        <f aca="false">B16-B17</f>
        <v>25573.3333333333</v>
      </c>
      <c r="C18" s="15"/>
    </row>
    <row r="19" customFormat="false" ht="18" hidden="false" customHeight="true" outlineLevel="0" collapsed="false">
      <c r="A19" s="10" t="s">
        <v>146</v>
      </c>
      <c r="B19" s="11" t="n">
        <f aca="false">B13*0.5</f>
        <v>25625.1733333333</v>
      </c>
      <c r="C19" s="12"/>
    </row>
    <row r="20" customFormat="false" ht="18" hidden="false" customHeight="true" outlineLevel="0" collapsed="false">
      <c r="A20" s="13" t="s">
        <v>147</v>
      </c>
      <c r="B20" s="14" t="n">
        <f aca="false">B19*Parametri!B14</f>
        <v>12740.8361813333</v>
      </c>
      <c r="C20" s="15" t="s">
        <v>114</v>
      </c>
    </row>
    <row r="21" customFormat="false" ht="18" hidden="false" customHeight="true" outlineLevel="0" collapsed="false">
      <c r="A21" s="10" t="s">
        <v>148</v>
      </c>
      <c r="B21" s="11" t="n">
        <f aca="false">B18+B20</f>
        <v>38314.1695146667</v>
      </c>
      <c r="C21" s="12" t="s">
        <v>149</v>
      </c>
    </row>
    <row r="22" customFormat="false" ht="18" hidden="false" customHeight="true" outlineLevel="0" collapsed="false">
      <c r="A22" s="13" t="s">
        <v>150</v>
      </c>
      <c r="B22" s="14" t="n">
        <f aca="false">MIN(B21,Parametri!B9)*Parametri!B10+MAX(0,MIN(B21,Parametri!B11)-Parametri!B9)*Parametri!B12+MAX(0,B21-Parametri!B11)*Parametri!B13</f>
        <v>10049.9593301333</v>
      </c>
      <c r="C22" s="15" t="s">
        <v>151</v>
      </c>
    </row>
    <row r="23" customFormat="false" ht="18" hidden="false" customHeight="true" outlineLevel="0" collapsed="false">
      <c r="A23" s="40" t="s">
        <v>152</v>
      </c>
      <c r="B23" s="41" t="n">
        <f aca="false">B18+B19-B22</f>
        <v>41148.5473365333</v>
      </c>
      <c r="C23" s="42" t="s">
        <v>153</v>
      </c>
    </row>
    <row r="24" customFormat="false" ht="18" hidden="false" customHeight="true" outlineLevel="0" collapsed="false">
      <c r="A24" s="13" t="s">
        <v>154</v>
      </c>
      <c r="B24" s="14" t="n">
        <f aca="false">B14*0.5</f>
        <v>6406.29333333333</v>
      </c>
      <c r="C24" s="15" t="s">
        <v>155</v>
      </c>
    </row>
    <row r="25" customFormat="false" ht="18" hidden="false" customHeight="true" outlineLevel="0" collapsed="false">
      <c r="A25" s="18" t="s">
        <v>156</v>
      </c>
      <c r="B25" s="19" t="n">
        <f aca="false">B23+B24</f>
        <v>47554.8406698667</v>
      </c>
      <c r="C25" s="20"/>
    </row>
    <row r="26" customFormat="false" ht="19.5" hidden="false" customHeight="true" outlineLevel="0" collapsed="false">
      <c r="A26" s="55" t="s">
        <v>157</v>
      </c>
      <c r="B26" s="55"/>
      <c r="C26" s="55"/>
    </row>
    <row r="27" customFormat="false" ht="18" hidden="false" customHeight="true" outlineLevel="0" collapsed="false">
      <c r="A27" s="13" t="s">
        <v>143</v>
      </c>
      <c r="B27" s="14" t="n">
        <f aca="false">B6</f>
        <v>28000</v>
      </c>
      <c r="C27" s="15"/>
    </row>
    <row r="28" customFormat="false" ht="18" hidden="false" customHeight="true" outlineLevel="0" collapsed="false">
      <c r="A28" s="10" t="s">
        <v>92</v>
      </c>
      <c r="B28" s="11" t="n">
        <f aca="false">B6*Parametri!B8</f>
        <v>2426.66666666667</v>
      </c>
      <c r="C28" s="12"/>
    </row>
    <row r="29" customFormat="false" ht="18" hidden="false" customHeight="true" outlineLevel="0" collapsed="false">
      <c r="A29" s="13" t="s">
        <v>145</v>
      </c>
      <c r="B29" s="14" t="n">
        <f aca="false">B27-B28</f>
        <v>25573.3333333333</v>
      </c>
      <c r="C29" s="15"/>
    </row>
    <row r="30" customFormat="false" ht="18" hidden="false" customHeight="true" outlineLevel="0" collapsed="false">
      <c r="A30" s="10" t="s">
        <v>158</v>
      </c>
      <c r="B30" s="11" t="n">
        <f aca="false">B13*0.5</f>
        <v>25625.1733333333</v>
      </c>
      <c r="C30" s="12"/>
    </row>
    <row r="31" customFormat="false" ht="18" hidden="false" customHeight="true" outlineLevel="0" collapsed="false">
      <c r="A31" s="13" t="s">
        <v>147</v>
      </c>
      <c r="B31" s="14" t="n">
        <f aca="false">B30*Parametri!B14</f>
        <v>12740.8361813333</v>
      </c>
      <c r="C31" s="15"/>
    </row>
    <row r="32" customFormat="false" ht="18" hidden="false" customHeight="true" outlineLevel="0" collapsed="false">
      <c r="A32" s="10" t="s">
        <v>159</v>
      </c>
      <c r="B32" s="11" t="n">
        <f aca="false">B29+B31</f>
        <v>38314.1695146667</v>
      </c>
      <c r="C32" s="12"/>
    </row>
    <row r="33" customFormat="false" ht="18" hidden="false" customHeight="true" outlineLevel="0" collapsed="false">
      <c r="A33" s="13" t="s">
        <v>160</v>
      </c>
      <c r="B33" s="14" t="n">
        <f aca="false">MIN(B32,Parametri!B9)*Parametri!B10+MAX(0,MIN(B32,Parametri!B11)-Parametri!B9)*Parametri!B12+MAX(0,B32-Parametri!B11)*Parametri!B13</f>
        <v>10049.9593301333</v>
      </c>
      <c r="C33" s="15"/>
    </row>
    <row r="34" customFormat="false" ht="18" hidden="false" customHeight="true" outlineLevel="0" collapsed="false">
      <c r="A34" s="40" t="s">
        <v>161</v>
      </c>
      <c r="B34" s="41" t="n">
        <f aca="false">B29+B30-B33</f>
        <v>41148.5473365333</v>
      </c>
      <c r="C34" s="42"/>
    </row>
    <row r="35" customFormat="false" ht="18" hidden="false" customHeight="true" outlineLevel="0" collapsed="false">
      <c r="A35" s="13" t="s">
        <v>162</v>
      </c>
      <c r="B35" s="14" t="n">
        <f aca="false">B14*0.5</f>
        <v>6406.29333333333</v>
      </c>
      <c r="C35" s="15"/>
    </row>
    <row r="36" customFormat="false" ht="18" hidden="false" customHeight="true" outlineLevel="0" collapsed="false">
      <c r="A36" s="18" t="s">
        <v>163</v>
      </c>
      <c r="B36" s="19" t="n">
        <f aca="false">B34+B35</f>
        <v>47554.8406698667</v>
      </c>
      <c r="C36" s="20"/>
    </row>
    <row r="37" customFormat="false" ht="19.5" hidden="false" customHeight="true" outlineLevel="0" collapsed="false">
      <c r="A37" s="43" t="s">
        <v>164</v>
      </c>
      <c r="B37" s="43"/>
      <c r="C37" s="43"/>
    </row>
    <row r="38" customFormat="false" ht="18" hidden="false" customHeight="true" outlineLevel="0" collapsed="false">
      <c r="A38" s="18" t="s">
        <v>165</v>
      </c>
      <c r="B38" s="19" t="n">
        <f aca="false">B23+B34</f>
        <v>82297.0946730667</v>
      </c>
      <c r="C38" s="44"/>
    </row>
    <row r="39" customFormat="false" ht="18" hidden="false" customHeight="true" outlineLevel="0" collapsed="false">
      <c r="A39" s="13" t="s">
        <v>166</v>
      </c>
      <c r="B39" s="14" t="n">
        <f aca="false">B14</f>
        <v>12812.5866666667</v>
      </c>
      <c r="C39" s="45"/>
    </row>
    <row r="40" customFormat="false" ht="18" hidden="false" customHeight="true" outlineLevel="0" collapsed="false">
      <c r="A40" s="18" t="s">
        <v>29</v>
      </c>
      <c r="B40" s="19" t="n">
        <f aca="false">B38+B39</f>
        <v>95109.6813397333</v>
      </c>
      <c r="C40" s="44"/>
    </row>
    <row r="41" customFormat="false" ht="18" hidden="false" customHeight="true" outlineLevel="0" collapsed="false">
      <c r="A41" s="13" t="s">
        <v>80</v>
      </c>
      <c r="B41" s="14" t="n">
        <f aca="false">B11</f>
        <v>20230.4</v>
      </c>
      <c r="C41" s="45"/>
    </row>
    <row r="42" customFormat="false" ht="18" hidden="false" customHeight="true" outlineLevel="0" collapsed="false">
      <c r="A42" s="10" t="s">
        <v>96</v>
      </c>
      <c r="B42" s="11" t="n">
        <f aca="false">B7+B8+B17+B28</f>
        <v>14560</v>
      </c>
      <c r="C42" s="46"/>
    </row>
    <row r="43" customFormat="false" ht="18" hidden="false" customHeight="true" outlineLevel="0" collapsed="false">
      <c r="A43" s="13" t="s">
        <v>97</v>
      </c>
      <c r="B43" s="14" t="n">
        <f aca="false">B22+B33</f>
        <v>20099.9186602667</v>
      </c>
      <c r="C43" s="45"/>
    </row>
    <row r="44" customFormat="false" ht="18" hidden="false" customHeight="true" outlineLevel="0" collapsed="false">
      <c r="A44" s="21" t="s">
        <v>125</v>
      </c>
      <c r="B44" s="22" t="n">
        <f aca="false">B41+B42+B43</f>
        <v>54890.3186602667</v>
      </c>
      <c r="C44" s="47"/>
    </row>
    <row r="45" customFormat="false" ht="18" hidden="false" customHeight="true" outlineLevel="0" collapsed="false">
      <c r="A45" s="24" t="s">
        <v>167</v>
      </c>
      <c r="B45" s="25" t="n">
        <f aca="false">B38/Parametri!B4</f>
        <v>0.548647297820444</v>
      </c>
      <c r="C45" s="48"/>
    </row>
    <row r="46" customFormat="false" ht="18" hidden="false" customHeight="true" outlineLevel="0" collapsed="false">
      <c r="A46" s="24" t="s">
        <v>168</v>
      </c>
      <c r="B46" s="25" t="n">
        <f aca="false">B40/Parametri!B4</f>
        <v>0.634064542264889</v>
      </c>
      <c r="C46" s="48"/>
    </row>
    <row r="47" customFormat="false" ht="39.75" hidden="false" customHeight="true" outlineLevel="0" collapsed="false">
      <c r="A47" s="35" t="s">
        <v>169</v>
      </c>
      <c r="B47" s="35"/>
      <c r="C47" s="35"/>
    </row>
  </sheetData>
  <mergeCells count="7">
    <mergeCell ref="A1:C1"/>
    <mergeCell ref="A2:C2"/>
    <mergeCell ref="A3:C3"/>
    <mergeCell ref="A15:C15"/>
    <mergeCell ref="A26:C26"/>
    <mergeCell ref="A37:C37"/>
    <mergeCell ref="A47:C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2026-04-27T16:39:08Z</dcterms:created>
  <dc:creator>openpyxl</dc:creator>
  <dc:description/>
  <dc:language>en-US</dc:language>
  <cp:lastModifiedBy/>
  <dcterms:modified xsi:type="dcterms:W3CDTF">2026-04-27T16:39:24Z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